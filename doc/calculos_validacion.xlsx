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mico.juanpablo\Desktop\"/>
    </mc:Choice>
  </mc:AlternateContent>
  <bookViews>
    <workbookView xWindow="0" yWindow="0" windowWidth="20490" windowHeight="8940" activeTab="1"/>
  </bookViews>
  <sheets>
    <sheet name="Solidos" sheetId="2" r:id="rId1"/>
    <sheet name="Liquid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F27" i="1"/>
  <c r="F15" i="2"/>
  <c r="H25" i="1"/>
  <c r="F25" i="1"/>
  <c r="F26" i="1"/>
  <c r="F24" i="1"/>
  <c r="F21" i="1"/>
  <c r="F20" i="1"/>
  <c r="F22" i="1"/>
  <c r="F19" i="1"/>
  <c r="F12" i="2"/>
  <c r="L21" i="2"/>
  <c r="F21" i="2"/>
  <c r="F22" i="2"/>
  <c r="F23" i="2" s="1"/>
  <c r="G22" i="2"/>
  <c r="F13" i="2"/>
  <c r="H13" i="2" s="1"/>
  <c r="F14" i="2"/>
</calcChain>
</file>

<file path=xl/comments1.xml><?xml version="1.0" encoding="utf-8"?>
<comments xmlns="http://schemas.openxmlformats.org/spreadsheetml/2006/main">
  <authors>
    <author>Juan Pablo Damico</author>
  </authors>
  <commentList>
    <comment ref="F22" authorId="0" shapeId="0">
      <text>
        <r>
          <rPr>
            <b/>
            <sz val="9"/>
            <color indexed="81"/>
            <rFont val="Tahoma"/>
            <family val="2"/>
          </rPr>
          <t>Juan Pablo Damico:</t>
        </r>
        <r>
          <rPr>
            <sz val="9"/>
            <color indexed="81"/>
            <rFont val="Tahoma"/>
            <family val="2"/>
          </rPr>
          <t xml:space="preserve">
este dato es la dosis efectiva ajustada por el angcho de faja.
</t>
        </r>
      </text>
    </comment>
  </commentList>
</comments>
</file>

<file path=xl/sharedStrings.xml><?xml version="1.0" encoding="utf-8"?>
<sst xmlns="http://schemas.openxmlformats.org/spreadsheetml/2006/main" count="77" uniqueCount="46">
  <si>
    <t>Kg/ha</t>
  </si>
  <si>
    <t>Velocidad</t>
  </si>
  <si>
    <t>m</t>
  </si>
  <si>
    <t>Km/h</t>
  </si>
  <si>
    <t>Kg/min</t>
  </si>
  <si>
    <t>Lote</t>
  </si>
  <si>
    <t>Superficie</t>
  </si>
  <si>
    <t>Ancho faja</t>
  </si>
  <si>
    <t>Altura de vuelo</t>
  </si>
  <si>
    <t>A</t>
  </si>
  <si>
    <t>Verificacion prestaciones</t>
  </si>
  <si>
    <t xml:space="preserve"> </t>
  </si>
  <si>
    <t xml:space="preserve">Tiempo </t>
  </si>
  <si>
    <t>Area tratada</t>
  </si>
  <si>
    <t>ha/min</t>
  </si>
  <si>
    <t>Dosis efectiva</t>
  </si>
  <si>
    <t>Dosis prevista</t>
  </si>
  <si>
    <t>kg/ha</t>
  </si>
  <si>
    <t xml:space="preserve">Kg </t>
  </si>
  <si>
    <t>seg</t>
  </si>
  <si>
    <t>Diferencia</t>
  </si>
  <si>
    <t>%</t>
  </si>
  <si>
    <t>Recolectado</t>
  </si>
  <si>
    <t>Control de dosis</t>
  </si>
  <si>
    <t>Control de distribución</t>
  </si>
  <si>
    <t>Salida de Datos</t>
  </si>
  <si>
    <t>Superficie bandeja</t>
  </si>
  <si>
    <t>Cantidad de bandejas</t>
  </si>
  <si>
    <t>Separación</t>
  </si>
  <si>
    <t>Ancho de faja ajustado</t>
  </si>
  <si>
    <t>Dosis efect ajustada</t>
  </si>
  <si>
    <t>Caudal efectivo</t>
  </si>
  <si>
    <t xml:space="preserve">Ajusrar el caudal efectivo a </t>
  </si>
  <si>
    <t>Coeficiente de variación</t>
  </si>
  <si>
    <t>Emergente si la diferencia es mayor al 10%</t>
  </si>
  <si>
    <t>Cantidad de picos</t>
  </si>
  <si>
    <t xml:space="preserve">Cantidad de picos a controlar </t>
  </si>
  <si>
    <t>L/ha</t>
  </si>
  <si>
    <t>L/min</t>
  </si>
  <si>
    <t xml:space="preserve">caudal de pico </t>
  </si>
  <si>
    <t>Pico controlado</t>
  </si>
  <si>
    <t>Ok</t>
  </si>
  <si>
    <t>Devío</t>
  </si>
  <si>
    <t>Correcto</t>
  </si>
  <si>
    <t>Vol pulverizado efectivo</t>
  </si>
  <si>
    <t>Volumen pulverizado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</si>
</sst>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  <xf numFmtId="2" fontId="1" fillId="0" borderId="2" xfId="0" applyNumberFormat="1" applyFont="1" applyBorder="1"/>
    <xf numFmtId="0" fontId="1" fillId="0" borderId="2" xfId="0" applyFont="1" applyBorder="1"/>
    <xf numFmtId="0" fontId="0" fillId="0" borderId="4" xfId="0" applyFont="1" applyBorder="1"/>
    <xf numFmtId="2" fontId="0" fillId="0" borderId="0" xfId="0" applyNumberFormat="1" applyFont="1" applyBorder="1"/>
    <xf numFmtId="0" fontId="0" fillId="0" borderId="0" xfId="0" applyFont="1" applyBorder="1"/>
    <xf numFmtId="0" fontId="0" fillId="0" borderId="6" xfId="0" applyFont="1" applyBorder="1"/>
    <xf numFmtId="2" fontId="0" fillId="0" borderId="7" xfId="0" applyNumberFormat="1" applyFont="1" applyBorder="1"/>
    <xf numFmtId="0" fontId="0" fillId="0" borderId="7" xfId="0" applyFont="1" applyBorder="1"/>
    <xf numFmtId="0" fontId="1" fillId="0" borderId="9" xfId="0" applyFont="1" applyBorder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ont="1" applyBorder="1"/>
    <xf numFmtId="2" fontId="0" fillId="0" borderId="2" xfId="0" applyNumberFormat="1" applyFont="1" applyBorder="1"/>
    <xf numFmtId="0" fontId="0" fillId="0" borderId="2" xfId="0" applyFont="1" applyBorder="1"/>
    <xf numFmtId="0" fontId="0" fillId="0" borderId="4" xfId="0" applyFont="1" applyFill="1" applyBorder="1"/>
    <xf numFmtId="2" fontId="0" fillId="0" borderId="0" xfId="0" applyNumberFormat="1" applyBorder="1"/>
    <xf numFmtId="0" fontId="0" fillId="0" borderId="6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0" xfId="0" applyFont="1" applyFill="1" applyBorder="1"/>
    <xf numFmtId="2" fontId="0" fillId="2" borderId="0" xfId="0" applyNumberFormat="1" applyFill="1"/>
    <xf numFmtId="0" fontId="0" fillId="2" borderId="0" xfId="0" applyFill="1"/>
    <xf numFmtId="0" fontId="4" fillId="0" borderId="0" xfId="0" applyFont="1"/>
    <xf numFmtId="2" fontId="0" fillId="2" borderId="0" xfId="0" applyNumberFormat="1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25"/>
  <sheetViews>
    <sheetView topLeftCell="A13" workbookViewId="0">
      <selection activeCell="H29" sqref="H29"/>
    </sheetView>
  </sheetViews>
  <sheetFormatPr baseColWidth="10" defaultRowHeight="15" x14ac:dyDescent="0.25"/>
  <cols>
    <col min="1" max="1" width="23.5703125" bestFit="1" customWidth="1"/>
    <col min="5" max="5" width="22.85546875" bestFit="1" customWidth="1"/>
    <col min="6" max="6" width="12" bestFit="1" customWidth="1"/>
    <col min="11" max="11" width="22.85546875" bestFit="1" customWidth="1"/>
  </cols>
  <sheetData>
    <row r="2" spans="1:9" x14ac:dyDescent="0.25">
      <c r="A2" t="s">
        <v>5</v>
      </c>
      <c r="B2" s="12" t="s">
        <v>9</v>
      </c>
    </row>
    <row r="3" spans="1:9" x14ac:dyDescent="0.25">
      <c r="A3" t="s">
        <v>6</v>
      </c>
      <c r="B3" s="12">
        <v>2</v>
      </c>
    </row>
    <row r="4" spans="1:9" x14ac:dyDescent="0.25">
      <c r="B4" s="12"/>
    </row>
    <row r="5" spans="1:9" x14ac:dyDescent="0.25">
      <c r="A5" t="s">
        <v>16</v>
      </c>
      <c r="B5" s="12">
        <v>66.319999999999993</v>
      </c>
      <c r="C5" t="s">
        <v>17</v>
      </c>
    </row>
    <row r="6" spans="1:9" x14ac:dyDescent="0.25">
      <c r="A6" t="s">
        <v>7</v>
      </c>
      <c r="B6" s="12">
        <v>7.5</v>
      </c>
      <c r="C6" t="s">
        <v>2</v>
      </c>
    </row>
    <row r="7" spans="1:9" x14ac:dyDescent="0.25">
      <c r="A7" t="s">
        <v>1</v>
      </c>
      <c r="B7" s="12">
        <v>6</v>
      </c>
      <c r="C7" t="s">
        <v>3</v>
      </c>
    </row>
    <row r="8" spans="1:9" x14ac:dyDescent="0.25">
      <c r="A8" t="s">
        <v>8</v>
      </c>
      <c r="B8" s="12">
        <v>6.3</v>
      </c>
      <c r="C8" t="s">
        <v>2</v>
      </c>
    </row>
    <row r="9" spans="1:9" x14ac:dyDescent="0.25">
      <c r="B9" s="12"/>
    </row>
    <row r="10" spans="1:9" ht="15.75" thickBot="1" x14ac:dyDescent="0.3">
      <c r="A10" s="1" t="s">
        <v>10</v>
      </c>
      <c r="B10" s="12"/>
    </row>
    <row r="11" spans="1:9" ht="15.75" thickBot="1" x14ac:dyDescent="0.3">
      <c r="A11" s="25" t="s">
        <v>23</v>
      </c>
      <c r="B11" s="26"/>
      <c r="C11" s="15"/>
      <c r="E11" s="13" t="s">
        <v>25</v>
      </c>
      <c r="F11" s="14"/>
      <c r="G11" s="14"/>
      <c r="H11" s="14"/>
      <c r="I11" s="15"/>
    </row>
    <row r="12" spans="1:9" x14ac:dyDescent="0.25">
      <c r="A12" s="2" t="s">
        <v>12</v>
      </c>
      <c r="B12" s="27">
        <v>30</v>
      </c>
      <c r="C12" s="4" t="s">
        <v>19</v>
      </c>
      <c r="E12" s="16" t="s">
        <v>15</v>
      </c>
      <c r="F12" s="17">
        <f>((B13/B12))/((B7*B6/3.6))*10000</f>
        <v>66.666666666666657</v>
      </c>
      <c r="G12" s="18" t="s">
        <v>0</v>
      </c>
      <c r="H12" s="3"/>
      <c r="I12" s="4"/>
    </row>
    <row r="13" spans="1:9" ht="15.75" thickBot="1" x14ac:dyDescent="0.3">
      <c r="A13" s="8" t="s">
        <v>22</v>
      </c>
      <c r="B13" s="28">
        <v>2.5</v>
      </c>
      <c r="C13" s="10" t="s">
        <v>18</v>
      </c>
      <c r="E13" s="19" t="s">
        <v>20</v>
      </c>
      <c r="F13" s="20">
        <f>F12-B5</f>
        <v>0.34666666666666401</v>
      </c>
      <c r="G13" s="21" t="s">
        <v>17</v>
      </c>
      <c r="H13" s="20">
        <f>F13/B5*100</f>
        <v>0.52271813429834746</v>
      </c>
      <c r="I13" s="7" t="s">
        <v>21</v>
      </c>
    </row>
    <row r="14" spans="1:9" x14ac:dyDescent="0.25">
      <c r="E14" s="19" t="s">
        <v>31</v>
      </c>
      <c r="F14" s="20">
        <f>B13/B12*60</f>
        <v>5</v>
      </c>
      <c r="G14" s="21" t="s">
        <v>4</v>
      </c>
      <c r="H14" s="21"/>
      <c r="I14" s="7"/>
    </row>
    <row r="15" spans="1:9" ht="15.75" thickBot="1" x14ac:dyDescent="0.3">
      <c r="C15" t="s">
        <v>11</v>
      </c>
      <c r="E15" s="22" t="s">
        <v>13</v>
      </c>
      <c r="F15" s="23">
        <f>((B6*B7/3.6)*60)/10000</f>
        <v>7.4999999999999997E-2</v>
      </c>
      <c r="G15" s="24" t="s">
        <v>14</v>
      </c>
      <c r="H15" s="24"/>
      <c r="I15" s="10"/>
    </row>
    <row r="18" spans="1:13" x14ac:dyDescent="0.25">
      <c r="A18" s="1" t="s">
        <v>24</v>
      </c>
    </row>
    <row r="19" spans="1:13" ht="15.75" thickBot="1" x14ac:dyDescent="0.3"/>
    <row r="20" spans="1:13" ht="15.75" thickBot="1" x14ac:dyDescent="0.3">
      <c r="A20" s="41" t="s">
        <v>26</v>
      </c>
      <c r="B20" s="41">
        <v>0.25</v>
      </c>
      <c r="E20" s="13" t="s">
        <v>25</v>
      </c>
      <c r="F20" s="14"/>
      <c r="G20" s="14"/>
      <c r="H20" s="14"/>
      <c r="I20" s="15"/>
      <c r="K20" s="35" t="s">
        <v>34</v>
      </c>
      <c r="L20" s="36"/>
      <c r="M20" s="37"/>
    </row>
    <row r="21" spans="1:13" x14ac:dyDescent="0.25">
      <c r="A21" t="s">
        <v>27</v>
      </c>
      <c r="B21">
        <v>10</v>
      </c>
      <c r="E21" s="29" t="s">
        <v>15</v>
      </c>
      <c r="F21" s="30">
        <f>F12</f>
        <v>66.666666666666657</v>
      </c>
      <c r="G21" s="31" t="s">
        <v>0</v>
      </c>
      <c r="H21" s="3"/>
      <c r="I21" s="4"/>
      <c r="K21" s="38" t="s">
        <v>32</v>
      </c>
      <c r="L21" s="39">
        <f>F14*(F12/F22)</f>
        <v>4</v>
      </c>
      <c r="M21" s="40" t="s">
        <v>4</v>
      </c>
    </row>
    <row r="22" spans="1:13" x14ac:dyDescent="0.25">
      <c r="A22" t="s">
        <v>28</v>
      </c>
      <c r="B22">
        <v>1.5</v>
      </c>
      <c r="E22" s="32" t="s">
        <v>30</v>
      </c>
      <c r="F22" s="33">
        <f>F12*(B6/B25)</f>
        <v>83.333333333333314</v>
      </c>
      <c r="G22" s="6" t="str">
        <f>G12</f>
        <v>Kg/ha</v>
      </c>
      <c r="H22" s="6"/>
      <c r="I22" s="7"/>
    </row>
    <row r="23" spans="1:13" x14ac:dyDescent="0.25">
      <c r="E23" s="32" t="s">
        <v>20</v>
      </c>
      <c r="F23" s="42">
        <f>(F22-F21)/F21*100</f>
        <v>24.999999999999989</v>
      </c>
      <c r="G23" s="6" t="s">
        <v>21</v>
      </c>
      <c r="H23" s="6"/>
    </row>
    <row r="24" spans="1:13" ht="15.75" thickBot="1" x14ac:dyDescent="0.3">
      <c r="E24" s="34" t="s">
        <v>33</v>
      </c>
      <c r="F24" s="9"/>
      <c r="G24" s="9" t="s">
        <v>21</v>
      </c>
      <c r="H24" s="9"/>
      <c r="I24" s="10"/>
    </row>
    <row r="25" spans="1:13" x14ac:dyDescent="0.25">
      <c r="A25" t="s">
        <v>29</v>
      </c>
      <c r="B25">
        <v>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7"/>
  <sheetViews>
    <sheetView tabSelected="1" topLeftCell="A13" workbookViewId="0">
      <selection activeCell="C21" sqref="C21"/>
    </sheetView>
  </sheetViews>
  <sheetFormatPr baseColWidth="10" defaultRowHeight="15" x14ac:dyDescent="0.25"/>
  <cols>
    <col min="1" max="1" width="27.28515625" bestFit="1" customWidth="1"/>
    <col min="5" max="5" width="22.85546875" bestFit="1" customWidth="1"/>
    <col min="6" max="6" width="14" bestFit="1" customWidth="1"/>
    <col min="8" max="8" width="11.140625" customWidth="1"/>
  </cols>
  <sheetData>
    <row r="3" spans="1:7" x14ac:dyDescent="0.25">
      <c r="A3" t="s">
        <v>5</v>
      </c>
      <c r="B3" s="12" t="s">
        <v>9</v>
      </c>
    </row>
    <row r="4" spans="1:7" x14ac:dyDescent="0.25">
      <c r="A4" t="s">
        <v>6</v>
      </c>
      <c r="B4" s="12">
        <v>2</v>
      </c>
    </row>
    <row r="5" spans="1:7" x14ac:dyDescent="0.25">
      <c r="A5" t="s">
        <v>35</v>
      </c>
      <c r="B5" s="12">
        <v>4</v>
      </c>
    </row>
    <row r="6" spans="1:7" x14ac:dyDescent="0.25">
      <c r="A6" t="s">
        <v>45</v>
      </c>
      <c r="B6" s="12">
        <v>6</v>
      </c>
      <c r="C6" t="s">
        <v>37</v>
      </c>
    </row>
    <row r="7" spans="1:7" x14ac:dyDescent="0.25">
      <c r="A7" t="s">
        <v>7</v>
      </c>
      <c r="B7" s="12">
        <v>7</v>
      </c>
      <c r="C7" t="s">
        <v>2</v>
      </c>
    </row>
    <row r="8" spans="1:7" x14ac:dyDescent="0.25">
      <c r="A8" t="s">
        <v>1</v>
      </c>
      <c r="B8" s="12">
        <v>20</v>
      </c>
      <c r="C8" t="s">
        <v>3</v>
      </c>
      <c r="G8" s="11"/>
    </row>
    <row r="9" spans="1:7" x14ac:dyDescent="0.25">
      <c r="A9" t="s">
        <v>8</v>
      </c>
      <c r="B9" s="12">
        <v>6.3</v>
      </c>
      <c r="C9" t="s">
        <v>2</v>
      </c>
      <c r="G9" s="11"/>
    </row>
    <row r="12" spans="1:7" ht="15.75" thickBot="1" x14ac:dyDescent="0.3">
      <c r="A12" s="1" t="s">
        <v>10</v>
      </c>
      <c r="B12" s="12"/>
    </row>
    <row r="13" spans="1:7" ht="15.75" thickBot="1" x14ac:dyDescent="0.3">
      <c r="A13" s="25" t="s">
        <v>23</v>
      </c>
      <c r="B13" s="26"/>
      <c r="C13" s="15"/>
    </row>
    <row r="14" spans="1:7" x14ac:dyDescent="0.25">
      <c r="A14" s="2" t="s">
        <v>12</v>
      </c>
      <c r="B14" s="27">
        <v>30</v>
      </c>
      <c r="C14" s="4" t="s">
        <v>19</v>
      </c>
    </row>
    <row r="15" spans="1:7" ht="15.75" thickBot="1" x14ac:dyDescent="0.3">
      <c r="A15" s="8" t="s">
        <v>36</v>
      </c>
      <c r="B15" s="28">
        <v>4</v>
      </c>
      <c r="C15" s="10"/>
    </row>
    <row r="16" spans="1:7" ht="15.75" thickBot="1" x14ac:dyDescent="0.3">
      <c r="A16" s="13" t="s">
        <v>39</v>
      </c>
      <c r="B16" s="14">
        <f>(B6*(B8*B7/3.6)*60/10000)/B5</f>
        <v>0.35</v>
      </c>
      <c r="C16" s="15" t="s">
        <v>38</v>
      </c>
    </row>
    <row r="18" spans="5:9" x14ac:dyDescent="0.25">
      <c r="E18" t="s">
        <v>40</v>
      </c>
      <c r="F18" t="s">
        <v>31</v>
      </c>
      <c r="G18" t="s">
        <v>41</v>
      </c>
      <c r="H18" t="s">
        <v>42</v>
      </c>
      <c r="I18" t="s">
        <v>43</v>
      </c>
    </row>
    <row r="19" spans="5:9" x14ac:dyDescent="0.25">
      <c r="E19">
        <v>0.16</v>
      </c>
      <c r="F19">
        <f>E19*60/B$14</f>
        <v>0.32</v>
      </c>
    </row>
    <row r="20" spans="5:9" x14ac:dyDescent="0.25">
      <c r="E20">
        <v>0.2</v>
      </c>
      <c r="F20">
        <f t="shared" ref="F20:F22" si="0">E20*60/B$14</f>
        <v>0.4</v>
      </c>
    </row>
    <row r="21" spans="5:9" x14ac:dyDescent="0.25">
      <c r="E21">
        <v>0.15</v>
      </c>
      <c r="F21">
        <f t="shared" si="0"/>
        <v>0.3</v>
      </c>
    </row>
    <row r="22" spans="5:9" x14ac:dyDescent="0.25">
      <c r="E22">
        <v>0.17499999999999999</v>
      </c>
      <c r="F22">
        <f t="shared" si="0"/>
        <v>0.35</v>
      </c>
    </row>
    <row r="23" spans="5:9" ht="15.75" thickBot="1" x14ac:dyDescent="0.3"/>
    <row r="24" spans="5:9" x14ac:dyDescent="0.25">
      <c r="E24" s="16" t="s">
        <v>44</v>
      </c>
      <c r="F24" s="17">
        <f>(AVERAGE(F19:F22)*B5*10000*3.6)/(60*B8*B7)</f>
        <v>5.8714285714285719</v>
      </c>
      <c r="G24" s="18" t="s">
        <v>37</v>
      </c>
      <c r="H24" s="18"/>
      <c r="I24" s="43"/>
    </row>
    <row r="25" spans="5:9" x14ac:dyDescent="0.25">
      <c r="E25" s="5" t="s">
        <v>20</v>
      </c>
      <c r="F25" s="33">
        <f>F24-B6</f>
        <v>-0.12857142857142811</v>
      </c>
      <c r="G25" s="6" t="s">
        <v>37</v>
      </c>
      <c r="H25" s="33">
        <f>(F24-B6)/B6*100</f>
        <v>-2.1428571428571352</v>
      </c>
      <c r="I25" s="7" t="s">
        <v>21</v>
      </c>
    </row>
    <row r="26" spans="5:9" x14ac:dyDescent="0.25">
      <c r="E26" s="5" t="s">
        <v>31</v>
      </c>
      <c r="F26" s="6">
        <f>AVERAGE(F19:F22)*B5</f>
        <v>1.37</v>
      </c>
      <c r="G26" s="6" t="s">
        <v>38</v>
      </c>
      <c r="H26" s="6"/>
      <c r="I26" s="7"/>
    </row>
    <row r="27" spans="5:9" ht="15.75" thickBot="1" x14ac:dyDescent="0.3">
      <c r="E27" s="8" t="s">
        <v>13</v>
      </c>
      <c r="F27" s="23">
        <f>((B7*B8/3.6)*60)/10000</f>
        <v>0.23333333333333331</v>
      </c>
      <c r="G27" s="9" t="s">
        <v>14</v>
      </c>
      <c r="H27" s="9"/>
      <c r="I27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Solidos</vt:lpstr>
      <vt:lpstr>Liquidos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Damico</dc:creator>
  <cp:lastModifiedBy>Juan Pablo Damico</cp:lastModifiedBy>
  <dcterms:created xsi:type="dcterms:W3CDTF">2026-08-31T13:55:41Z</dcterms:created>
  <dcterms:modified xsi:type="dcterms:W3CDTF">2026-09-02T18:44:15Z</dcterms:modified>
</cp:coreProperties>
</file>