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mico.juanpablo\Desktop\"/>
    </mc:Choice>
  </mc:AlternateContent>
  <bookViews>
    <workbookView xWindow="0" yWindow="0" windowWidth="20490" windowHeight="7650" activeTab="1"/>
  </bookViews>
  <sheets>
    <sheet name="Calculador de insumos liquidos" sheetId="1" r:id="rId1"/>
    <sheet name="Convertidor de densidades de s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2" l="1"/>
  <c r="F10" i="2"/>
  <c r="F12" i="2"/>
  <c r="E11" i="2"/>
  <c r="E9" i="2"/>
  <c r="E12" i="2" s="1"/>
  <c r="D11" i="2"/>
  <c r="D10" i="2"/>
  <c r="C11" i="2"/>
  <c r="C10" i="2"/>
  <c r="D12" i="2"/>
  <c r="C9" i="2"/>
  <c r="H5" i="1" l="1"/>
  <c r="H21" i="1"/>
  <c r="O10" i="1"/>
  <c r="O12" i="1" s="1"/>
  <c r="B5" i="1" s="1"/>
  <c r="H12" i="1"/>
  <c r="H10" i="1"/>
  <c r="H2" i="1"/>
  <c r="H3" i="1" s="1"/>
  <c r="H4" i="1" s="1"/>
  <c r="H22" i="1" l="1"/>
  <c r="H23" i="1" s="1"/>
  <c r="H13" i="1"/>
  <c r="H14" i="1" s="1"/>
  <c r="I14" i="1" s="1"/>
  <c r="L14" i="1" s="1"/>
  <c r="I10" i="1"/>
  <c r="L10" i="1" s="1"/>
  <c r="I13" i="1"/>
  <c r="L13" i="1" s="1"/>
  <c r="I12" i="1"/>
  <c r="L12" i="1" s="1"/>
  <c r="H11" i="1"/>
  <c r="I11" i="1" s="1"/>
  <c r="L11" i="1" s="1"/>
</calcChain>
</file>

<file path=xl/comments1.xml><?xml version="1.0" encoding="utf-8"?>
<comments xmlns="http://schemas.openxmlformats.org/spreadsheetml/2006/main">
  <authors>
    <author>Juan Pablo Damico</author>
  </authors>
  <commentList>
    <comment ref="O12" authorId="0" shapeId="0">
      <text>
        <r>
          <rPr>
            <b/>
            <sz val="9"/>
            <color indexed="81"/>
            <rFont val="Tahoma"/>
            <charset val="1"/>
          </rPr>
          <t>Juan Pablo Damico:</t>
        </r>
        <r>
          <rPr>
            <sz val="9"/>
            <color indexed="81"/>
            <rFont val="Tahoma"/>
            <charset val="1"/>
          </rPr>
          <t xml:space="preserve">
este dato puede ser calculado o que ingrese directamente el valor.
</t>
        </r>
      </text>
    </comment>
  </commentList>
</comments>
</file>

<file path=xl/sharedStrings.xml><?xml version="1.0" encoding="utf-8"?>
<sst xmlns="http://schemas.openxmlformats.org/spreadsheetml/2006/main" count="65" uniqueCount="49">
  <si>
    <t>Superficie</t>
  </si>
  <si>
    <t>Prescripción</t>
  </si>
  <si>
    <t>Producto A</t>
  </si>
  <si>
    <t>Producto B</t>
  </si>
  <si>
    <t>Producto C</t>
  </si>
  <si>
    <t>Producto D</t>
  </si>
  <si>
    <t>gr/ha</t>
  </si>
  <si>
    <t>gr/100L</t>
  </si>
  <si>
    <t>Vol total</t>
  </si>
  <si>
    <t>Capacidad mixer</t>
  </si>
  <si>
    <t>Cantidad de cargas</t>
  </si>
  <si>
    <t>Vol/carga equilibrado</t>
  </si>
  <si>
    <t>ml/ha</t>
  </si>
  <si>
    <t>mL/100L</t>
  </si>
  <si>
    <t>Agua</t>
  </si>
  <si>
    <t>Solidos</t>
  </si>
  <si>
    <t>Liquidos</t>
  </si>
  <si>
    <t xml:space="preserve">Insumos </t>
  </si>
  <si>
    <t>Prueba de compatibilidad</t>
  </si>
  <si>
    <t>por carga (L -Kg)</t>
  </si>
  <si>
    <t>Total (L - Kg)</t>
  </si>
  <si>
    <t>Vol muestra (L)</t>
  </si>
  <si>
    <t>por muestra (gr/ml)</t>
  </si>
  <si>
    <t>Vol</t>
  </si>
  <si>
    <t>Peso</t>
  </si>
  <si>
    <t>Densidad (Calculada)</t>
  </si>
  <si>
    <t>Densidad</t>
  </si>
  <si>
    <t xml:space="preserve">L/HA </t>
  </si>
  <si>
    <t>L/HA equivalente en agua</t>
  </si>
  <si>
    <t>Calculador insumos Drones</t>
  </si>
  <si>
    <t>Calculador de insunos Drones</t>
  </si>
  <si>
    <t>Capacidad dron</t>
  </si>
  <si>
    <t xml:space="preserve">Kg/HA </t>
  </si>
  <si>
    <t>Cantidad total</t>
  </si>
  <si>
    <t>Kg/carga equilibrado</t>
  </si>
  <si>
    <t>Superficie/carga</t>
  </si>
  <si>
    <t>L</t>
  </si>
  <si>
    <t>ha</t>
  </si>
  <si>
    <t>Kg</t>
  </si>
  <si>
    <t>LIQUIDOS</t>
  </si>
  <si>
    <t>SOLIDOS</t>
  </si>
  <si>
    <t>pms</t>
  </si>
  <si>
    <t>pureza</t>
  </si>
  <si>
    <t>pg</t>
  </si>
  <si>
    <t>logro</t>
  </si>
  <si>
    <t>Semillas viables/ha</t>
  </si>
  <si>
    <t>Semillas /ha</t>
  </si>
  <si>
    <t>Población objetivo</t>
  </si>
  <si>
    <t>Kg/ha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</si>
</sst>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2" borderId="3" xfId="0" applyFill="1" applyBorder="1"/>
    <xf numFmtId="2" fontId="0" fillId="3" borderId="5" xfId="0" applyNumberFormat="1" applyFill="1" applyBorder="1"/>
    <xf numFmtId="2" fontId="0" fillId="3" borderId="6" xfId="0" applyNumberFormat="1" applyFill="1" applyBorder="1"/>
    <xf numFmtId="2" fontId="0" fillId="3" borderId="0" xfId="0" applyNumberFormat="1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2" borderId="10" xfId="0" applyFill="1" applyBorder="1"/>
    <xf numFmtId="0" fontId="0" fillId="0" borderId="11" xfId="0" applyBorder="1"/>
    <xf numFmtId="0" fontId="0" fillId="2" borderId="13" xfId="0" applyFill="1" applyBorder="1"/>
    <xf numFmtId="0" fontId="0" fillId="3" borderId="4" xfId="0" applyFill="1" applyBorder="1"/>
    <xf numFmtId="0" fontId="0" fillId="0" borderId="6" xfId="0" applyBorder="1"/>
    <xf numFmtId="0" fontId="0" fillId="5" borderId="3" xfId="0" applyFill="1" applyBorder="1"/>
    <xf numFmtId="0" fontId="0" fillId="3" borderId="8" xfId="0" applyFill="1" applyBorder="1"/>
    <xf numFmtId="2" fontId="0" fillId="2" borderId="8" xfId="0" applyNumberFormat="1" applyFill="1" applyBorder="1"/>
    <xf numFmtId="2" fontId="0" fillId="2" borderId="10" xfId="0" applyNumberFormat="1" applyFill="1" applyBorder="1"/>
    <xf numFmtId="2" fontId="0" fillId="2" borderId="13" xfId="0" applyNumberFormat="1" applyFill="1" applyBorder="1"/>
    <xf numFmtId="2" fontId="0" fillId="5" borderId="10" xfId="0" applyNumberFormat="1" applyFill="1" applyBorder="1"/>
    <xf numFmtId="0" fontId="0" fillId="0" borderId="0" xfId="0" applyFill="1"/>
    <xf numFmtId="0" fontId="0" fillId="0" borderId="6" xfId="0" applyFill="1" applyBorder="1"/>
    <xf numFmtId="0" fontId="0" fillId="2" borderId="9" xfId="0" applyFill="1" applyBorder="1"/>
    <xf numFmtId="0" fontId="0" fillId="2" borderId="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2" fillId="0" borderId="5" xfId="0" applyFont="1" applyBorder="1"/>
    <xf numFmtId="0" fontId="2" fillId="2" borderId="5" xfId="0" applyFont="1" applyFill="1" applyBorder="1"/>
    <xf numFmtId="0" fontId="2" fillId="2" borderId="6" xfId="0" applyFont="1" applyFill="1" applyBorder="1"/>
    <xf numFmtId="43" fontId="0" fillId="0" borderId="8" xfId="1" applyFont="1" applyBorder="1"/>
    <xf numFmtId="43" fontId="0" fillId="0" borderId="10" xfId="1" applyFont="1" applyBorder="1"/>
    <xf numFmtId="0" fontId="0" fillId="3" borderId="1" xfId="0" applyFill="1" applyBorder="1"/>
    <xf numFmtId="2" fontId="0" fillId="2" borderId="4" xfId="0" applyNumberFormat="1" applyFill="1" applyBorder="1"/>
    <xf numFmtId="2" fontId="0" fillId="2" borderId="5" xfId="0" applyNumberFormat="1" applyFill="1" applyBorder="1"/>
    <xf numFmtId="2" fontId="0" fillId="2" borderId="6" xfId="0" applyNumberFormat="1" applyFill="1" applyBorder="1"/>
    <xf numFmtId="43" fontId="0" fillId="0" borderId="0" xfId="1" applyFont="1"/>
    <xf numFmtId="43" fontId="0" fillId="0" borderId="4" xfId="1" applyFont="1" applyBorder="1"/>
    <xf numFmtId="43" fontId="0" fillId="0" borderId="5" xfId="1" applyFont="1" applyBorder="1"/>
    <xf numFmtId="43" fontId="0" fillId="0" borderId="6" xfId="1" applyFont="1" applyBorder="1"/>
    <xf numFmtId="2" fontId="0" fillId="3" borderId="4" xfId="0" applyNumberFormat="1" applyFill="1" applyBorder="1"/>
    <xf numFmtId="0" fontId="0" fillId="4" borderId="0" xfId="0" applyFill="1"/>
    <xf numFmtId="0" fontId="0" fillId="6" borderId="0" xfId="0" applyFill="1"/>
    <xf numFmtId="43" fontId="0" fillId="2" borderId="0" xfId="1" applyFont="1" applyFill="1"/>
    <xf numFmtId="43" fontId="2" fillId="2" borderId="0" xfId="1" applyFont="1" applyFill="1"/>
    <xf numFmtId="0" fontId="2" fillId="2" borderId="0" xfId="0" applyFont="1" applyFill="1"/>
    <xf numFmtId="43" fontId="0" fillId="3" borderId="0" xfId="1" applyFont="1" applyFill="1"/>
    <xf numFmtId="43" fontId="0" fillId="3" borderId="0" xfId="0" applyNumberFormat="1" applyFill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5"/>
  <sheetViews>
    <sheetView topLeftCell="G1" workbookViewId="0">
      <selection activeCell="J26" sqref="J26"/>
    </sheetView>
  </sheetViews>
  <sheetFormatPr baseColWidth="10" defaultRowHeight="15" x14ac:dyDescent="0.25"/>
  <cols>
    <col min="1" max="1" width="27.42578125" bestFit="1" customWidth="1"/>
    <col min="2" max="2" width="13.5703125" bestFit="1" customWidth="1"/>
    <col min="7" max="7" width="20.28515625" bestFit="1" customWidth="1"/>
    <col min="8" max="8" width="13.5703125" bestFit="1" customWidth="1"/>
    <col min="9" max="10" width="20.28515625" bestFit="1" customWidth="1"/>
    <col min="11" max="11" width="24" bestFit="1" customWidth="1"/>
    <col min="12" max="12" width="12.5703125" bestFit="1" customWidth="1"/>
    <col min="14" max="14" width="19.7109375" bestFit="1" customWidth="1"/>
    <col min="15" max="15" width="18" bestFit="1" customWidth="1"/>
  </cols>
  <sheetData>
    <row r="1" spans="1:15" s="52" customFormat="1" ht="15.75" thickBot="1" x14ac:dyDescent="0.3">
      <c r="A1" s="52" t="s">
        <v>30</v>
      </c>
      <c r="B1" s="52" t="s">
        <v>39</v>
      </c>
    </row>
    <row r="2" spans="1:15" ht="15.75" thickBot="1" x14ac:dyDescent="0.3">
      <c r="G2" s="4" t="s">
        <v>8</v>
      </c>
      <c r="H2" s="23">
        <f>B3*B4</f>
        <v>1080</v>
      </c>
      <c r="I2" s="41" t="s">
        <v>36</v>
      </c>
    </row>
    <row r="3" spans="1:15" x14ac:dyDescent="0.25">
      <c r="A3" s="6" t="s">
        <v>0</v>
      </c>
      <c r="B3" s="27">
        <v>60</v>
      </c>
      <c r="G3" s="5" t="s">
        <v>10</v>
      </c>
      <c r="H3" s="18">
        <f>INT(H2/B6)+1</f>
        <v>4</v>
      </c>
      <c r="I3" s="42"/>
    </row>
    <row r="4" spans="1:15" ht="15.75" thickBot="1" x14ac:dyDescent="0.3">
      <c r="A4" s="7" t="s">
        <v>27</v>
      </c>
      <c r="B4" s="28">
        <v>18</v>
      </c>
      <c r="G4" s="24" t="s">
        <v>11</v>
      </c>
      <c r="H4" s="19">
        <f>H2/H3</f>
        <v>270</v>
      </c>
      <c r="I4" s="42" t="s">
        <v>36</v>
      </c>
    </row>
    <row r="5" spans="1:15" ht="15.75" thickBot="1" x14ac:dyDescent="0.3">
      <c r="A5" s="7" t="s">
        <v>28</v>
      </c>
      <c r="B5" s="30">
        <f>B4*SQRT(O12)</f>
        <v>20.523157651784484</v>
      </c>
      <c r="G5" s="1" t="s">
        <v>35</v>
      </c>
      <c r="H5" s="43">
        <f>H4/B4</f>
        <v>15</v>
      </c>
      <c r="I5" s="42" t="s">
        <v>37</v>
      </c>
    </row>
    <row r="6" spans="1:15" ht="15.75" thickBot="1" x14ac:dyDescent="0.3">
      <c r="A6" s="21" t="s">
        <v>9</v>
      </c>
      <c r="B6" s="29">
        <v>300</v>
      </c>
      <c r="G6" s="7"/>
      <c r="H6" s="8"/>
      <c r="I6" s="9"/>
      <c r="K6" t="s">
        <v>18</v>
      </c>
      <c r="N6" t="s">
        <v>26</v>
      </c>
    </row>
    <row r="7" spans="1:15" ht="15.75" thickBot="1" x14ac:dyDescent="0.3">
      <c r="G7" s="7"/>
      <c r="H7" s="8"/>
      <c r="I7" s="9"/>
    </row>
    <row r="8" spans="1:15" ht="15.75" thickBot="1" x14ac:dyDescent="0.3">
      <c r="A8" s="4"/>
      <c r="B8" s="1" t="s">
        <v>15</v>
      </c>
      <c r="C8" s="2"/>
      <c r="D8" s="1" t="s">
        <v>16</v>
      </c>
      <c r="E8" s="2"/>
      <c r="G8" s="7"/>
      <c r="H8" s="1" t="s">
        <v>17</v>
      </c>
      <c r="I8" s="2"/>
      <c r="K8" s="1" t="s">
        <v>21</v>
      </c>
      <c r="L8" s="10">
        <v>4</v>
      </c>
    </row>
    <row r="9" spans="1:15" ht="15.75" thickBot="1" x14ac:dyDescent="0.3">
      <c r="A9" s="38" t="s">
        <v>1</v>
      </c>
      <c r="B9" s="7" t="s">
        <v>6</v>
      </c>
      <c r="C9" s="8" t="s">
        <v>7</v>
      </c>
      <c r="D9" s="8" t="s">
        <v>12</v>
      </c>
      <c r="E9" s="9" t="s">
        <v>13</v>
      </c>
      <c r="G9" s="7"/>
      <c r="H9" s="3" t="s">
        <v>20</v>
      </c>
      <c r="I9" s="3" t="s">
        <v>19</v>
      </c>
      <c r="K9" s="3" t="s">
        <v>22</v>
      </c>
      <c r="L9" s="3"/>
    </row>
    <row r="10" spans="1:15" x14ac:dyDescent="0.25">
      <c r="A10" s="39" t="s">
        <v>2</v>
      </c>
      <c r="B10" s="33">
        <v>100</v>
      </c>
      <c r="C10" s="8"/>
      <c r="D10" s="8"/>
      <c r="E10" s="9"/>
      <c r="G10" s="5" t="s">
        <v>2</v>
      </c>
      <c r="H10" s="13">
        <f>(B10/1000)*B3</f>
        <v>6</v>
      </c>
      <c r="I10" s="14">
        <f>H10/H$3</f>
        <v>1.5</v>
      </c>
      <c r="K10" s="5" t="s">
        <v>2</v>
      </c>
      <c r="L10" s="11">
        <f>I10*1000*(L$8/H$4)</f>
        <v>22.222222222222221</v>
      </c>
      <c r="N10" s="4" t="s">
        <v>23</v>
      </c>
      <c r="O10" s="26">
        <f>L8</f>
        <v>4</v>
      </c>
    </row>
    <row r="11" spans="1:15" ht="15.75" thickBot="1" x14ac:dyDescent="0.3">
      <c r="A11" s="39" t="s">
        <v>3</v>
      </c>
      <c r="B11" s="7"/>
      <c r="C11" s="34">
        <v>100</v>
      </c>
      <c r="D11" s="8"/>
      <c r="E11" s="9"/>
      <c r="G11" s="5" t="s">
        <v>3</v>
      </c>
      <c r="H11" s="13">
        <f>(C11/1000)*(H2/100)</f>
        <v>1.08</v>
      </c>
      <c r="I11" s="14">
        <f>H11/H$3</f>
        <v>0.27</v>
      </c>
      <c r="K11" s="5" t="s">
        <v>3</v>
      </c>
      <c r="L11" s="11">
        <f t="shared" ref="L11:L14" si="0">I11*1000*(L$8/H$4)</f>
        <v>4</v>
      </c>
      <c r="N11" s="24" t="s">
        <v>24</v>
      </c>
      <c r="O11" s="22">
        <v>5.2</v>
      </c>
    </row>
    <row r="12" spans="1:15" ht="15.75" thickBot="1" x14ac:dyDescent="0.3">
      <c r="A12" s="39" t="s">
        <v>4</v>
      </c>
      <c r="B12" s="7"/>
      <c r="C12" s="8"/>
      <c r="D12" s="34">
        <v>2000</v>
      </c>
      <c r="E12" s="9"/>
      <c r="G12" s="5" t="s">
        <v>4</v>
      </c>
      <c r="H12" s="15">
        <f>(D12/1000)*B3</f>
        <v>120</v>
      </c>
      <c r="I12" s="14">
        <f>H12/H$3</f>
        <v>30</v>
      </c>
      <c r="K12" s="5" t="s">
        <v>4</v>
      </c>
      <c r="L12" s="11">
        <f t="shared" si="0"/>
        <v>444.44444444444446</v>
      </c>
      <c r="N12" s="1" t="s">
        <v>25</v>
      </c>
      <c r="O12" s="25">
        <f>O11/O10</f>
        <v>1.3</v>
      </c>
    </row>
    <row r="13" spans="1:15" x14ac:dyDescent="0.25">
      <c r="A13" s="39" t="s">
        <v>5</v>
      </c>
      <c r="B13" s="7"/>
      <c r="C13" s="8"/>
      <c r="D13" s="8"/>
      <c r="E13" s="20">
        <v>2000</v>
      </c>
      <c r="G13" s="5" t="s">
        <v>5</v>
      </c>
      <c r="H13" s="15">
        <f>(E13/1000)*(H2/100)</f>
        <v>21.6</v>
      </c>
      <c r="I13" s="14">
        <f>H13/H$3</f>
        <v>5.4</v>
      </c>
      <c r="K13" s="5" t="s">
        <v>5</v>
      </c>
      <c r="L13" s="11">
        <f t="shared" si="0"/>
        <v>80</v>
      </c>
    </row>
    <row r="14" spans="1:15" ht="15.75" thickBot="1" x14ac:dyDescent="0.3">
      <c r="A14" s="40" t="s">
        <v>14</v>
      </c>
      <c r="B14" s="35"/>
      <c r="C14" s="36"/>
      <c r="D14" s="36"/>
      <c r="E14" s="37"/>
      <c r="F14" s="31"/>
      <c r="G14" s="32" t="s">
        <v>14</v>
      </c>
      <c r="H14" s="16">
        <f>H2-H13-H12</f>
        <v>938.40000000000009</v>
      </c>
      <c r="I14" s="17">
        <f>H14/H$3</f>
        <v>234.60000000000002</v>
      </c>
      <c r="K14" s="32" t="s">
        <v>14</v>
      </c>
      <c r="L14" s="12">
        <f t="shared" si="0"/>
        <v>3475.5555555555561</v>
      </c>
    </row>
    <row r="19" spans="1:9" s="53" customFormat="1" x14ac:dyDescent="0.25">
      <c r="A19" s="53" t="s">
        <v>29</v>
      </c>
      <c r="B19" s="53" t="s">
        <v>40</v>
      </c>
    </row>
    <row r="20" spans="1:9" ht="15.75" thickBot="1" x14ac:dyDescent="0.3"/>
    <row r="21" spans="1:9" x14ac:dyDescent="0.25">
      <c r="G21" s="4" t="s">
        <v>33</v>
      </c>
      <c r="H21" s="51">
        <f>B23*B24</f>
        <v>540</v>
      </c>
      <c r="I21" s="47" t="s">
        <v>38</v>
      </c>
    </row>
    <row r="22" spans="1:9" ht="15.75" thickBot="1" x14ac:dyDescent="0.3">
      <c r="G22" s="5" t="s">
        <v>10</v>
      </c>
      <c r="H22" s="11">
        <f>INT(H21/B25)+1</f>
        <v>13</v>
      </c>
      <c r="I22" s="47"/>
    </row>
    <row r="23" spans="1:9" ht="15.75" thickBot="1" x14ac:dyDescent="0.3">
      <c r="A23" s="6" t="s">
        <v>0</v>
      </c>
      <c r="B23" s="44">
        <v>60</v>
      </c>
      <c r="C23" s="48" t="s">
        <v>37</v>
      </c>
      <c r="G23" s="24" t="s">
        <v>34</v>
      </c>
      <c r="H23" s="12">
        <f>H21/H22</f>
        <v>41.53846153846154</v>
      </c>
      <c r="I23" s="47" t="s">
        <v>38</v>
      </c>
    </row>
    <row r="24" spans="1:9" x14ac:dyDescent="0.25">
      <c r="A24" s="7" t="s">
        <v>32</v>
      </c>
      <c r="B24" s="45">
        <v>9</v>
      </c>
      <c r="C24" s="49"/>
    </row>
    <row r="25" spans="1:9" ht="15.75" thickBot="1" x14ac:dyDescent="0.3">
      <c r="A25" s="21" t="s">
        <v>31</v>
      </c>
      <c r="B25" s="46">
        <v>45</v>
      </c>
      <c r="C25" s="50" t="s">
        <v>38</v>
      </c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12"/>
  <sheetViews>
    <sheetView tabSelected="1" workbookViewId="0">
      <selection activeCell="C8" sqref="C8"/>
    </sheetView>
  </sheetViews>
  <sheetFormatPr baseColWidth="10" defaultRowHeight="15" x14ac:dyDescent="0.25"/>
  <cols>
    <col min="1" max="1" width="18.28515625" bestFit="1" customWidth="1"/>
    <col min="3" max="3" width="13.140625" style="47" bestFit="1" customWidth="1"/>
    <col min="4" max="4" width="14.140625" style="47" bestFit="1" customWidth="1"/>
    <col min="5" max="6" width="13.140625" bestFit="1" customWidth="1"/>
  </cols>
  <sheetData>
    <row r="4" spans="1:6" x14ac:dyDescent="0.25">
      <c r="A4" t="s">
        <v>41</v>
      </c>
      <c r="C4" s="54">
        <v>4</v>
      </c>
    </row>
    <row r="5" spans="1:6" x14ac:dyDescent="0.25">
      <c r="A5" t="s">
        <v>42</v>
      </c>
      <c r="C5" s="54">
        <v>100</v>
      </c>
    </row>
    <row r="6" spans="1:6" x14ac:dyDescent="0.25">
      <c r="A6" t="s">
        <v>43</v>
      </c>
      <c r="C6" s="54">
        <v>100</v>
      </c>
    </row>
    <row r="7" spans="1:6" x14ac:dyDescent="0.25">
      <c r="A7" t="s">
        <v>44</v>
      </c>
      <c r="C7" s="54">
        <v>100</v>
      </c>
    </row>
    <row r="9" spans="1:6" x14ac:dyDescent="0.25">
      <c r="A9" t="s">
        <v>46</v>
      </c>
      <c r="C9" s="57">
        <f>((C$12*(C$5/100))/(C$4))*1000000</f>
        <v>1500000</v>
      </c>
      <c r="D9" s="55">
        <v>1350000</v>
      </c>
      <c r="E9" s="58">
        <f>E10/(C6/100)</f>
        <v>1215000</v>
      </c>
      <c r="F9" s="58">
        <f>F11/(C7/100)/(C6/100)</f>
        <v>1093500</v>
      </c>
    </row>
    <row r="10" spans="1:6" x14ac:dyDescent="0.25">
      <c r="A10" t="s">
        <v>45</v>
      </c>
      <c r="C10" s="57">
        <f>((C$12*(C$5/100)*(C6/100))/(C$4))*1000000</f>
        <v>1500000</v>
      </c>
      <c r="D10" s="57">
        <f>D9*((C6/100))</f>
        <v>1350000</v>
      </c>
      <c r="E10" s="56">
        <v>1215000</v>
      </c>
      <c r="F10" s="58">
        <f>F11/(C7/100)</f>
        <v>1093500</v>
      </c>
    </row>
    <row r="11" spans="1:6" x14ac:dyDescent="0.25">
      <c r="A11" t="s">
        <v>47</v>
      </c>
      <c r="C11" s="57">
        <f>((C$12*(C$5/100)*(C6/100)*(C7/100))/(C$4))*1000000</f>
        <v>1500000</v>
      </c>
      <c r="D11" s="57">
        <f>D9*((C6/100)*(C7/100))</f>
        <v>1350000</v>
      </c>
      <c r="E11" s="58">
        <f>E10*(C7/100)</f>
        <v>1215000</v>
      </c>
      <c r="F11" s="56">
        <v>1093500</v>
      </c>
    </row>
    <row r="12" spans="1:6" x14ac:dyDescent="0.25">
      <c r="A12" t="s">
        <v>48</v>
      </c>
      <c r="C12" s="55">
        <v>6</v>
      </c>
      <c r="D12" s="57">
        <f>((D9/1000000)*C4)/(C5/100)</f>
        <v>5.4</v>
      </c>
      <c r="E12" s="57">
        <f>((E9/1000000)*C4)/(C6/100)</f>
        <v>4.8600000000000003</v>
      </c>
      <c r="F12" s="57">
        <f>((F11/1000000)*C4)/((C5/100)*(C6/100)*(C7/100))</f>
        <v>4.3739999999999997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Calculador de insumos liquidos</vt:lpstr>
      <vt:lpstr>Convertidor de densidades de si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Damico</dc:creator>
  <cp:lastModifiedBy>Juan Pablo Damico</cp:lastModifiedBy>
  <dcterms:created xsi:type="dcterms:W3CDTF">2026-08-05T14:25:31Z</dcterms:created>
  <dcterms:modified xsi:type="dcterms:W3CDTF">2026-08-25T14:55:19Z</dcterms:modified>
</cp:coreProperties>
</file>